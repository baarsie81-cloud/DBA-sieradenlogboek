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Mijn sieraden" sheetId="2" state="visible" r:id="rId2"/>
    <sheet xmlns:r="http://schemas.openxmlformats.org/officeDocument/2006/relationships" name="Overzicht" sheetId="3" state="visible" r:id="rId3"/>
  </sheets>
  <definedNames>
    <definedName name="_xlnm.Print_Area" localSheetId="0">'Start'!$A$1:$H$40</definedName>
    <definedName name="_xlnm.Print_Titles" localSheetId="1">'Mijn sieraden'!$1:$8</definedName>
    <definedName name="_xlnm.Print_Area" localSheetId="1">'Mijn sieraden'!$A$1:$J$38</definedName>
    <definedName name="_xlnm.Print_Area" localSheetId="2">'Overzicht'!$A$1:$F$31</definedName>
  </definedNames>
  <calcPr calcId="191029" fullCalcOnLoad="1"/>
</workbook>
</file>

<file path=xl/styles.xml><?xml version="1.0" encoding="utf-8"?>
<styleSheet xmlns="http://schemas.openxmlformats.org/spreadsheetml/2006/main">
  <numFmts count="2">
    <numFmt numFmtId="164" formatCode="&quot;€&quot; #,##0.00"/>
    <numFmt numFmtId="165" formatCode="dd-mm-yyyy"/>
  </numFmts>
  <fonts count="12">
    <font>
      <name val="Calibri"/>
      <family val="2"/>
      <color theme="1"/>
      <sz val="11"/>
      <scheme val="minor"/>
    </font>
    <font>
      <name val="Calibri"/>
      <b val="1"/>
      <color rgb="00005B4A"/>
      <sz val="23"/>
    </font>
    <font>
      <name val="Calibri"/>
      <color rgb="0065716A"/>
      <sz val="11"/>
    </font>
    <font>
      <name val="Calibri"/>
      <b val="1"/>
      <color rgb="00005B4A"/>
      <sz val="16"/>
    </font>
    <font>
      <name val="Calibri"/>
      <b val="1"/>
      <color rgb="00005B4A"/>
      <sz val="12"/>
    </font>
    <font>
      <name val="Calibri"/>
      <color rgb="00333536"/>
      <sz val="11"/>
    </font>
    <font>
      <name val="Calibri"/>
      <color rgb="00333536"/>
      <sz val="10"/>
    </font>
    <font>
      <name val="Calibri"/>
      <b val="1"/>
      <color rgb="00FFFFFF"/>
      <sz val="11"/>
    </font>
    <font>
      <name val="Calibri"/>
      <b val="1"/>
      <color rgb="0000765F"/>
      <sz val="11"/>
    </font>
    <font>
      <name val="Calibri"/>
      <b val="1"/>
      <color rgb="00005B4A"/>
      <sz val="11"/>
    </font>
    <font>
      <name val="Calibri"/>
      <b val="1"/>
      <color rgb="00005B4A"/>
      <sz val="15"/>
    </font>
    <font>
      <name val="Calibri"/>
      <b val="1"/>
      <color rgb="00005B4A"/>
      <sz val="13"/>
    </font>
  </fonts>
  <fills count="8">
    <fill>
      <patternFill/>
    </fill>
    <fill>
      <patternFill patternType="gray125"/>
    </fill>
    <fill>
      <patternFill patternType="solid">
        <fgColor rgb="008BD232"/>
      </patternFill>
    </fill>
    <fill>
      <patternFill patternType="solid">
        <fgColor rgb="00F0F6EC"/>
      </patternFill>
    </fill>
    <fill>
      <patternFill patternType="solid">
        <fgColor rgb="00005B4A"/>
      </patternFill>
    </fill>
    <fill>
      <patternFill patternType="solid">
        <fgColor rgb="00F5F8F4"/>
      </patternFill>
    </fill>
    <fill>
      <patternFill patternType="solid">
        <fgColor rgb="00EAF0EB"/>
      </patternFill>
    </fill>
    <fill>
      <patternFill patternType="solid">
        <fgColor rgb="00FFFFFF"/>
      </patternFill>
    </fill>
  </fills>
  <borders count="2">
    <border>
      <left/>
      <right/>
      <top/>
      <bottom/>
      <diagonal/>
    </border>
    <border>
      <bottom style="thin">
        <color rgb="00DCE6DE"/>
      </bottom>
    </border>
  </borders>
  <cellStyleXfs count="1">
    <xf numFmtId="0" fontId="0" fillId="0" borderId="0"/>
  </cellStyleXfs>
  <cellXfs count="28">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0" fillId="2" borderId="0" pivotButton="0" quotePrefix="0" xfId="0"/>
    <xf numFmtId="0" fontId="3" fillId="0" borderId="0" applyAlignment="1" pivotButton="0" quotePrefix="0" xfId="0">
      <alignment vertical="center" wrapText="1"/>
    </xf>
    <xf numFmtId="0" fontId="4" fillId="3" borderId="0" applyAlignment="1" pivotButton="0" quotePrefix="0" xfId="0">
      <alignment vertical="center" wrapText="1"/>
    </xf>
    <xf numFmtId="0" fontId="0" fillId="3" borderId="0" pivotButton="0" quotePrefix="0" xfId="0"/>
    <xf numFmtId="0" fontId="5" fillId="0" borderId="0" applyAlignment="1" pivotButton="0" quotePrefix="0" xfId="0">
      <alignment vertical="center" wrapText="1"/>
    </xf>
    <xf numFmtId="0" fontId="4" fillId="0" borderId="0" applyAlignment="1" pivotButton="0" quotePrefix="0" xfId="0">
      <alignment vertical="center" wrapText="1"/>
    </xf>
    <xf numFmtId="0" fontId="5" fillId="3" borderId="0" applyAlignment="1" pivotButton="0" quotePrefix="0" xfId="0">
      <alignment vertical="center" wrapText="1"/>
    </xf>
    <xf numFmtId="0" fontId="6" fillId="0" borderId="0" applyAlignment="1" pivotButton="0" quotePrefix="0" xfId="0">
      <alignment vertical="center" wrapText="1"/>
    </xf>
    <xf numFmtId="0" fontId="7" fillId="4" borderId="0" applyAlignment="1" pivotButton="0" quotePrefix="0" xfId="0">
      <alignment vertical="center" wrapText="1"/>
    </xf>
    <xf numFmtId="0" fontId="8" fillId="5" borderId="1" applyAlignment="1" applyProtection="1" pivotButton="0" quotePrefix="0" xfId="0">
      <alignment horizontal="center" vertical="top"/>
      <protection locked="0" hidden="0"/>
    </xf>
    <xf numFmtId="0" fontId="5" fillId="5" borderId="1" applyAlignment="1" applyProtection="1" pivotButton="0" quotePrefix="0" xfId="0">
      <alignment vertical="top" wrapText="1"/>
      <protection locked="0" hidden="0"/>
    </xf>
    <xf numFmtId="164" fontId="5" fillId="5" borderId="1" applyAlignment="1" applyProtection="1" pivotButton="0" quotePrefix="0" xfId="0">
      <alignment horizontal="right" vertical="top"/>
      <protection locked="0" hidden="0"/>
    </xf>
    <xf numFmtId="165" fontId="5" fillId="5" borderId="1" applyAlignment="1" applyProtection="1" pivotButton="0" quotePrefix="0" xfId="0">
      <alignment vertical="top" wrapText="1"/>
      <protection locked="0" hidden="0"/>
    </xf>
    <xf numFmtId="0" fontId="5" fillId="6" borderId="1" applyAlignment="1" applyProtection="1" pivotButton="0" quotePrefix="0" xfId="0">
      <alignment vertical="top" wrapText="1"/>
      <protection locked="0" hidden="0"/>
    </xf>
    <xf numFmtId="0" fontId="8" fillId="7" borderId="1" applyAlignment="1" applyProtection="1" pivotButton="0" quotePrefix="0" xfId="0">
      <alignment horizontal="center" vertical="top"/>
      <protection locked="0" hidden="0"/>
    </xf>
    <xf numFmtId="0" fontId="5" fillId="7" borderId="1" applyAlignment="1" applyProtection="1" pivotButton="0" quotePrefix="0" xfId="0">
      <alignment vertical="top" wrapText="1"/>
      <protection locked="0" hidden="0"/>
    </xf>
    <xf numFmtId="164" fontId="5" fillId="7" borderId="1" applyAlignment="1" applyProtection="1" pivotButton="0" quotePrefix="0" xfId="0">
      <alignment horizontal="right" vertical="top"/>
      <protection locked="0" hidden="0"/>
    </xf>
    <xf numFmtId="165" fontId="5" fillId="7" borderId="1" applyAlignment="1" applyProtection="1" pivotButton="0" quotePrefix="0" xfId="0">
      <alignment vertical="top" wrapText="1"/>
      <protection locked="0" hidden="0"/>
    </xf>
    <xf numFmtId="0" fontId="11" fillId="0" borderId="0" applyAlignment="1" pivotButton="0" quotePrefix="0" xfId="0">
      <alignment horizontal="right" vertical="center"/>
    </xf>
    <xf numFmtId="0" fontId="9" fillId="0" borderId="0" applyAlignment="1" pivotButton="0" quotePrefix="0" xfId="0">
      <alignment vertical="center" wrapText="1"/>
    </xf>
    <xf numFmtId="164" fontId="11" fillId="0" borderId="0" applyAlignment="1" pivotButton="0" quotePrefix="0" xfId="0">
      <alignment horizontal="right" vertical="center"/>
    </xf>
    <xf numFmtId="0" fontId="10" fillId="0" borderId="0" applyAlignment="1" pivotButton="0" quotePrefix="0" xfId="0">
      <alignment vertical="center" wrapText="1"/>
    </xf>
    <xf numFmtId="0" fontId="0" fillId="4" borderId="0" pivotButton="0" quotePrefix="0" xfId="0"/>
    <xf numFmtId="0" fontId="5" fillId="7" borderId="0" applyAlignment="1" pivotButton="0" quotePrefix="0" xfId="0">
      <alignment vertical="center" wrapText="1"/>
    </xf>
    <xf numFmtId="0" fontId="0" fillId="7" borderId="0" pivotButton="0" quotePrefix="0" xfId="0"/>
  </cellXfs>
  <cellStyles count="1">
    <cellStyle name="Normal" xfId="0" builtinId="0" hidden="0"/>
  </cellStyles>
  <dxfs count="1">
    <dxf>
      <fill>
        <patternFill patternType="solid">
          <fgColor rgb="00FFF0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DBA Advies</author>
  </authors>
  <commentList>
    <comment ref="C8" authorId="0" shapeId="0">
      <text>
        <t>Noteer ook merk/model, gravure, keurmerk of gehalte en stenen, indien bekend. Neem technische gegevens over uit bewijsstukken; schat niet zelf.</t>
      </text>
    </comment>
    <comment ref="D8" authorId="0" shapeId="0">
      <text>
        <t>Dit is een indeling van het hele sieraad. Een gouden ring met diamant telt eenmaal mee onder Goud. Bij meerdere metalen: Gemengd.</t>
      </text>
    </comment>
    <comment ref="F8" authorId="0" shapeId="0">
      <text>
        <t>Het oorspronkelijke aankoopbedrag. Laat onbekende bedragen leeg.</t>
      </text>
    </comment>
    <comment ref="G8" authorId="0" shapeId="0">
      <text>
        <t>De waarde uit uw taxatierapport. Dit is niet automatisch de huidige waarde of de verzekerde vergoeding.</t>
      </text>
    </comment>
    <comment ref="H8" authorId="0" shapeId="0">
      <text>
        <t>Datum van het taxatierapport. Er geldt geen algemene geldigheidsduur voor alle verzekeraars.</t>
      </text>
    </comment>
    <comment ref="I8" authorId="0" shapeId="0">
      <text>
        <t>Bijvoorbeeld S001_taxatie.pdf en S001_aankoopbewijs.jpg. Bewaar deze documenten apart.</t>
      </text>
    </comment>
    <comment ref="J8" authorId="0" shapeId="0">
      <text>
        <t>Gebruik waar beschikbaar Invoegen &gt; Afbeeldingen &gt; In cel plaatsen. Bewaar originele detailfoto’s ook apart.</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drawing1.xml><?xml version="1.0" encoding="utf-8"?>
<wsDr xmlns="http://schemas.openxmlformats.org/drawingml/2006/spreadsheetDrawing">
  <oneCellAnchor>
    <from>
      <col>0</col>
      <colOff>0</colOff>
      <row>0</row>
      <rowOff>0</rowOff>
    </from>
    <ext cx="2333625" cy="7715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2333625" cy="7715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2333625" cy="7715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00765F"/>
    <outlinePr summaryBelow="1" summaryRight="0"/>
    <pageSetUpPr fitToPage="1"/>
  </sheetPr>
  <dimension ref="A5:H40"/>
  <sheetViews>
    <sheetView showGridLines="0" zoomScale="90"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ht="22" customHeight="1"/>
    <row r="2" ht="22" customHeight="1"/>
    <row r="3" ht="22" customHeight="1"/>
    <row r="4" ht="22" customHeight="1"/>
    <row r="5" ht="38" customHeight="1">
      <c r="A5" s="1" t="inlineStr">
        <is>
          <t>Uw sieraden, overzichtelijk vastgelegd</t>
        </is>
      </c>
    </row>
    <row r="6" ht="29" customHeight="1">
      <c r="A6" s="2" t="inlineStr">
        <is>
          <t>DBA Advies • Veenendaal | Een overzicht van bezit, foto’s en waardebewijzen</t>
        </is>
      </c>
    </row>
    <row r="7" ht="4" customHeight="1">
      <c r="A7" s="3" t="n"/>
      <c r="B7" s="3" t="n"/>
      <c r="C7" s="3" t="n"/>
      <c r="D7" s="3" t="n"/>
      <c r="E7" s="3" t="n"/>
      <c r="F7" s="3" t="n"/>
      <c r="G7" s="3" t="n"/>
      <c r="H7" s="3" t="n"/>
    </row>
    <row r="9" ht="32" customHeight="1">
      <c r="A9" s="4" t="inlineStr">
        <is>
          <t>Zo gebruikt u uw logboek</t>
        </is>
      </c>
    </row>
    <row r="11" ht="25" customHeight="1">
      <c r="A11" s="5" t="inlineStr">
        <is>
          <t>1  Eén sieraad per rij</t>
        </is>
      </c>
      <c r="B11" s="6" t="n"/>
      <c r="C11" s="6" t="n"/>
      <c r="D11" s="6" t="n"/>
      <c r="E11" s="6" t="n"/>
      <c r="F11" s="6" t="n"/>
      <c r="G11" s="6" t="n"/>
      <c r="H11" s="6" t="n"/>
    </row>
    <row r="12" ht="58" customHeight="1">
      <c r="A12" s="7" t="inlineStr">
        <is>
          <t>Open ‘Mijn sieraden’. Beschrijf ieder sieraad of één bij elkaar horend paar als één registratie. Gebruik het vaste nummer ook voor foto’s en bewijsstukken.</t>
        </is>
      </c>
    </row>
    <row r="14" ht="25" customHeight="1">
      <c r="A14" s="5" t="inlineStr">
        <is>
          <t>2  Vul in wat u weet</t>
        </is>
      </c>
      <c r="B14" s="6" t="n"/>
      <c r="C14" s="6" t="n"/>
      <c r="D14" s="6" t="n"/>
      <c r="E14" s="6" t="n"/>
      <c r="F14" s="6" t="n"/>
      <c r="G14" s="6" t="n"/>
      <c r="H14" s="6" t="n"/>
    </row>
    <row r="15" ht="58" customHeight="1">
      <c r="A15" s="7" t="inlineStr">
        <is>
          <t>Kies soort en materiaal. Noteer merk, gravure, keurmerk/gehalte en stenen bij de omschrijving. Bij verkrijging kunt u bijvoorbeeld ‘erfenis, 2018’ invullen. Onbekende bedragen en data blijven leeg; raad ze niet.</t>
        </is>
      </c>
    </row>
    <row r="17" ht="25" customHeight="1">
      <c r="A17" s="5" t="inlineStr">
        <is>
          <t>3  Houd waarden gescheiden</t>
        </is>
      </c>
      <c r="B17" s="6" t="n"/>
      <c r="C17" s="6" t="n"/>
      <c r="D17" s="6" t="n"/>
      <c r="E17" s="6" t="n"/>
      <c r="F17" s="6" t="n"/>
      <c r="G17" s="6" t="n"/>
      <c r="H17" s="6" t="n"/>
    </row>
    <row r="18" ht="58" customHeight="1">
      <c r="A18" s="7" t="inlineStr">
        <is>
          <t>Aankoopbedrag is wat destijds is betaald. Taxatiewaarde neemt u over uit een taxatierapport, met de datum. De opgetelde taxatiewaarden kunnen verschillende peildata hebben en zijn dus niet automatisch de actuele waarde.</t>
        </is>
      </c>
    </row>
    <row r="20" ht="25" customHeight="1">
      <c r="A20" s="5" t="inlineStr">
        <is>
          <t>4  Voeg uw foto toe</t>
        </is>
      </c>
      <c r="B20" s="6" t="n"/>
      <c r="C20" s="6" t="n"/>
      <c r="D20" s="6" t="n"/>
      <c r="E20" s="6" t="n"/>
      <c r="F20" s="6" t="n"/>
      <c r="G20" s="6" t="n"/>
      <c r="H20" s="6" t="n"/>
    </row>
    <row r="21" ht="58" customHeight="1">
      <c r="A21" s="7" t="inlineStr">
        <is>
          <t>Selecteer de cel in ‘Foto’. In recente Excel-versies: Invoegen → Afbeeldingen → In cel plaatsen → Dit apparaat. Voeg een duidelijke overzichtsfoto toe. De precieze menunamen kunnen per versie verschillen.</t>
        </is>
      </c>
    </row>
    <row r="23" ht="25" customHeight="1">
      <c r="A23" s="5" t="inlineStr">
        <is>
          <t>5  Bewaar het bestand én de originelen</t>
        </is>
      </c>
      <c r="B23" s="6" t="n"/>
      <c r="C23" s="6" t="n"/>
      <c r="D23" s="6" t="n"/>
      <c r="E23" s="6" t="n"/>
      <c r="F23" s="6" t="n"/>
      <c r="G23" s="6" t="n"/>
      <c r="H23" s="6" t="n"/>
    </row>
    <row r="24" ht="58" customHeight="1">
      <c r="A24" s="7" t="inlineStr">
        <is>
          <t>Sla uw ingevulde Excelbestand op en controleer na opnieuw openen of de foto’s aanwezig zijn. Bewaar daarnaast originele detailfoto’s, bonnen en taxaties, met hetzelfde sieradennummer. Houd ook een veilige reservekopie.</t>
        </is>
      </c>
    </row>
    <row r="26" ht="25" customHeight="1">
      <c r="A26" s="5" t="inlineStr">
        <is>
          <t>6  Bekijk uw overzicht</t>
        </is>
      </c>
      <c r="B26" s="6" t="n"/>
      <c r="C26" s="6" t="n"/>
      <c r="D26" s="6" t="n"/>
      <c r="E26" s="6" t="n"/>
      <c r="F26" s="6" t="n"/>
      <c r="G26" s="6" t="n"/>
      <c r="H26" s="6" t="n"/>
    </row>
    <row r="27" ht="58" customHeight="1">
      <c r="A27" s="7" t="inlineStr">
        <is>
          <t>Op ‘Overzicht’ ziet u de afzonderlijke totalen en het aantal sieraden zonder taxatiewaarde. Vul bedragen niet als € 0 in wanneer u de waarde niet weet. Neem bij twijfel contact op met DBA.</t>
        </is>
      </c>
    </row>
    <row r="30" ht="28" customHeight="1">
      <c r="A30" s="8" t="inlineStr">
        <is>
          <t>Voorbeeld — uitsluitend ter uitleg, niet opgenomen in de totalen</t>
        </is>
      </c>
    </row>
    <row r="31" ht="64" customHeight="1">
      <c r="A31" s="9" t="inlineStr">
        <is>
          <t>S001 | Ring | Geelgoud, gravure aan binnenzijde | Goud | Gekregen, 2018
Aankoopbedrag: onbekend | Taxatiewaarde: € 950 | Taxatiedatum: 01-06-2026
Bewijsstukken: S001_taxatie.pdf • S001_detail.jpg</t>
        </is>
      </c>
      <c r="B31" s="6" t="n"/>
      <c r="C31" s="6" t="n"/>
      <c r="D31" s="6" t="n"/>
      <c r="E31" s="6" t="n"/>
      <c r="F31" s="6" t="n"/>
      <c r="G31" s="6" t="n"/>
      <c r="H31" s="6" t="n"/>
    </row>
    <row r="33" ht="27" customHeight="1">
      <c r="A33" s="8" t="inlineStr">
        <is>
          <t>Foto’s in oudere Excel-versies</t>
        </is>
      </c>
    </row>
    <row r="34" ht="60" customHeight="1">
      <c r="A34" s="7" t="inlineStr">
        <is>
          <t>Ontbreekt ‘In cel plaatsen’? Voeg de foto dan als losse afbeelding toe, verklein deze en plaats haar boven het fotovak. Zet waar beschikbaar ‘Verplaatsen en formaat wijzigen met cellen’ aan. Sorteer de lijst niet zonder te controleren of de foto’s bij het juiste nummer blijven.</t>
        </is>
      </c>
    </row>
    <row r="36" ht="27" customHeight="1">
      <c r="A36" s="8" t="inlineStr">
        <is>
          <t>Belangrijk om te weten</t>
        </is>
      </c>
    </row>
    <row r="37" ht="67" customHeight="1">
      <c r="A37" s="7" t="inlineStr">
        <is>
          <t>Dit logboek is geen taxatie en wijzigt uw verzekering niet. Uw polis en de eisen van de verzekeraar bepalen de dekking en benodigde waardebewijzen. Er wordt geen waarde berekend op basis van goud- of zilverkoersen. Gegevens blijven in uw eigen bestand; DBA ontvangt niet automatisch een kopie.</t>
        </is>
      </c>
    </row>
    <row r="39" ht="38" customHeight="1">
      <c r="A39" s="8" t="inlineStr">
        <is>
          <t>DBA Advies
Veenendaal</t>
        </is>
      </c>
    </row>
    <row r="40" ht="34" customHeight="1">
      <c r="A40" s="10" t="inlineStr">
        <is>
          <t>Brouwersgracht 62 · 3901 TJ Veenendaal | Kerkewijk 28 A · 3901 EG Veenendaal
0318 – 76 80 13 | veenendaal@dba-advies.nl</t>
        </is>
      </c>
    </row>
  </sheetData>
  <mergeCells count="23">
    <mergeCell ref="A9:H9"/>
    <mergeCell ref="A30:H30"/>
    <mergeCell ref="A39:H39"/>
    <mergeCell ref="A15:H15"/>
    <mergeCell ref="A24:H24"/>
    <mergeCell ref="A36:H36"/>
    <mergeCell ref="A11:H11"/>
    <mergeCell ref="A6:H6"/>
    <mergeCell ref="A37:H37"/>
    <mergeCell ref="A27:H27"/>
    <mergeCell ref="A12:H12"/>
    <mergeCell ref="A18:H18"/>
    <mergeCell ref="A26:H26"/>
    <mergeCell ref="A21:H21"/>
    <mergeCell ref="A33:H33"/>
    <mergeCell ref="A14:H14"/>
    <mergeCell ref="A5:H5"/>
    <mergeCell ref="A23:H23"/>
    <mergeCell ref="A17:H17"/>
    <mergeCell ref="A40:H40"/>
    <mergeCell ref="A20:H20"/>
    <mergeCell ref="A31:H31"/>
    <mergeCell ref="A34:H34"/>
  </mergeCells>
  <printOptions horizontalCentered="1"/>
  <pageMargins left="0.25" right="0.25" top="0.35" bottom="0.35" header="0.5" footer="0.5"/>
  <pageSetup paperSize="9" fitToHeight="0" fitToWidth="1"/>
  <headerFooter>
    <oddHeader/>
    <oddFooter>&amp;C&amp;9 DBA Advies | Veenendaal&amp;R&amp;9 Pagina &amp;P van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00765F"/>
    <outlinePr summaryBelow="1" summaryRight="0"/>
    <pageSetUpPr fitToPage="1"/>
  </sheetPr>
  <dimension ref="A5:J40"/>
  <sheetViews>
    <sheetView showGridLines="0" zoomScale="90" workbookViewId="0">
      <pane xSplit="2" ySplit="8" topLeftCell="C9"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31" customWidth="1" min="3" max="3"/>
    <col width="13" customWidth="1" min="4" max="4"/>
    <col width="21" customWidth="1" min="5" max="5"/>
    <col width="15" customWidth="1" min="6" max="6"/>
    <col width="15" customWidth="1" min="7" max="7"/>
    <col width="15" customWidth="1" min="8" max="8"/>
    <col width="24" customWidth="1" min="9" max="9"/>
    <col width="23" customWidth="1" min="10" max="10"/>
  </cols>
  <sheetData>
    <row r="1" ht="22" customHeight="1"/>
    <row r="2" ht="22" customHeight="1"/>
    <row r="3" ht="22" customHeight="1"/>
    <row r="4" ht="22" customHeight="1"/>
    <row r="5" ht="38" customHeight="1">
      <c r="A5" s="1" t="inlineStr">
        <is>
          <t>Mijn sieraden</t>
        </is>
      </c>
    </row>
    <row r="6" ht="29" customHeight="1">
      <c r="A6" s="2" t="inlineStr">
        <is>
          <t>Vul de witte/lichtgroene vakken in. Laat onbekende bedragen leeg. De foto hoort bij het nummer van de rij.</t>
        </is>
      </c>
    </row>
    <row r="7" ht="4" customHeight="1">
      <c r="A7" s="3" t="n"/>
      <c r="B7" s="3" t="n"/>
      <c r="C7" s="3" t="n"/>
      <c r="D7" s="3" t="n"/>
      <c r="E7" s="3" t="n"/>
      <c r="F7" s="3" t="n"/>
      <c r="G7" s="3" t="n"/>
      <c r="H7" s="3" t="n"/>
      <c r="I7" s="3" t="n"/>
      <c r="J7" s="3" t="n"/>
    </row>
    <row r="8" ht="38" customHeight="1">
      <c r="A8" s="11" t="inlineStr">
        <is>
          <t>Nr.</t>
        </is>
      </c>
      <c r="B8" s="11" t="inlineStr">
        <is>
          <t>Soort</t>
        </is>
      </c>
      <c r="C8" s="11" t="inlineStr">
        <is>
          <t>Omschrijving en kenmerken</t>
        </is>
      </c>
      <c r="D8" s="11" t="inlineStr">
        <is>
          <t>Materiaal</t>
        </is>
      </c>
      <c r="E8" s="11" t="inlineStr">
        <is>
          <t>Verkrijging
herkomst / datum</t>
        </is>
      </c>
      <c r="F8" s="11" t="inlineStr">
        <is>
          <t>Aankoopbedrag
€</t>
        </is>
      </c>
      <c r="G8" s="11" t="inlineStr">
        <is>
          <t>Taxatiewaarde
€</t>
        </is>
      </c>
      <c r="H8" s="11" t="inlineStr">
        <is>
          <t>Taxatiedatum</t>
        </is>
      </c>
      <c r="I8" s="11" t="inlineStr">
        <is>
          <t>Bewijsstukken
bestandsnamen / referenties</t>
        </is>
      </c>
      <c r="J8" s="11" t="inlineStr">
        <is>
          <t>Foto</t>
        </is>
      </c>
    </row>
    <row r="9" ht="96" customHeight="1">
      <c r="A9" s="12" t="inlineStr">
        <is>
          <t>S001</t>
        </is>
      </c>
      <c r="B9" s="13" t="n"/>
      <c r="C9" s="13" t="n"/>
      <c r="D9" s="13" t="n"/>
      <c r="E9" s="13" t="n"/>
      <c r="F9" s="14" t="n"/>
      <c r="G9" s="14" t="n"/>
      <c r="H9" s="15" t="n"/>
      <c r="I9" s="13" t="n"/>
      <c r="J9" s="16" t="n"/>
    </row>
    <row r="10" ht="96" customHeight="1">
      <c r="A10" s="17" t="inlineStr">
        <is>
          <t>S002</t>
        </is>
      </c>
      <c r="B10" s="18" t="n"/>
      <c r="C10" s="18" t="n"/>
      <c r="D10" s="18" t="n"/>
      <c r="E10" s="18" t="n"/>
      <c r="F10" s="19" t="n"/>
      <c r="G10" s="19" t="n"/>
      <c r="H10" s="20" t="n"/>
      <c r="I10" s="18" t="n"/>
      <c r="J10" s="16" t="n"/>
    </row>
    <row r="11" ht="96" customHeight="1">
      <c r="A11" s="12" t="inlineStr">
        <is>
          <t>S003</t>
        </is>
      </c>
      <c r="B11" s="13" t="n"/>
      <c r="C11" s="13" t="n"/>
      <c r="D11" s="13" t="n"/>
      <c r="E11" s="13" t="n"/>
      <c r="F11" s="14" t="n"/>
      <c r="G11" s="14" t="n"/>
      <c r="H11" s="15" t="n"/>
      <c r="I11" s="13" t="n"/>
      <c r="J11" s="16" t="n"/>
    </row>
    <row r="12" ht="96" customHeight="1">
      <c r="A12" s="17" t="inlineStr">
        <is>
          <t>S004</t>
        </is>
      </c>
      <c r="B12" s="18" t="n"/>
      <c r="C12" s="18" t="n"/>
      <c r="D12" s="18" t="n"/>
      <c r="E12" s="18" t="n"/>
      <c r="F12" s="19" t="n"/>
      <c r="G12" s="19" t="n"/>
      <c r="H12" s="20" t="n"/>
      <c r="I12" s="18" t="n"/>
      <c r="J12" s="16" t="n"/>
    </row>
    <row r="13" ht="96" customHeight="1">
      <c r="A13" s="12" t="inlineStr">
        <is>
          <t>S005</t>
        </is>
      </c>
      <c r="B13" s="13" t="n"/>
      <c r="C13" s="13" t="n"/>
      <c r="D13" s="13" t="n"/>
      <c r="E13" s="13" t="n"/>
      <c r="F13" s="14" t="n"/>
      <c r="G13" s="14" t="n"/>
      <c r="H13" s="15" t="n"/>
      <c r="I13" s="13" t="n"/>
      <c r="J13" s="16" t="n"/>
    </row>
    <row r="14" ht="96" customHeight="1">
      <c r="A14" s="17" t="inlineStr">
        <is>
          <t>S006</t>
        </is>
      </c>
      <c r="B14" s="18" t="n"/>
      <c r="C14" s="18" t="n"/>
      <c r="D14" s="18" t="n"/>
      <c r="E14" s="18" t="n"/>
      <c r="F14" s="19" t="n"/>
      <c r="G14" s="19" t="n"/>
      <c r="H14" s="20" t="n"/>
      <c r="I14" s="18" t="n"/>
      <c r="J14" s="16" t="n"/>
    </row>
    <row r="15" ht="96" customHeight="1">
      <c r="A15" s="12" t="inlineStr">
        <is>
          <t>S007</t>
        </is>
      </c>
      <c r="B15" s="13" t="n"/>
      <c r="C15" s="13" t="n"/>
      <c r="D15" s="13" t="n"/>
      <c r="E15" s="13" t="n"/>
      <c r="F15" s="14" t="n"/>
      <c r="G15" s="14" t="n"/>
      <c r="H15" s="15" t="n"/>
      <c r="I15" s="13" t="n"/>
      <c r="J15" s="16" t="n"/>
    </row>
    <row r="16" ht="96" customHeight="1">
      <c r="A16" s="17" t="inlineStr">
        <is>
          <t>S008</t>
        </is>
      </c>
      <c r="B16" s="18" t="n"/>
      <c r="C16" s="18" t="n"/>
      <c r="D16" s="18" t="n"/>
      <c r="E16" s="18" t="n"/>
      <c r="F16" s="19" t="n"/>
      <c r="G16" s="19" t="n"/>
      <c r="H16" s="20" t="n"/>
      <c r="I16" s="18" t="n"/>
      <c r="J16" s="16" t="n"/>
    </row>
    <row r="17" ht="96" customHeight="1">
      <c r="A17" s="12" t="inlineStr">
        <is>
          <t>S009</t>
        </is>
      </c>
      <c r="B17" s="13" t="n"/>
      <c r="C17" s="13" t="n"/>
      <c r="D17" s="13" t="n"/>
      <c r="E17" s="13" t="n"/>
      <c r="F17" s="14" t="n"/>
      <c r="G17" s="14" t="n"/>
      <c r="H17" s="15" t="n"/>
      <c r="I17" s="13" t="n"/>
      <c r="J17" s="16" t="n"/>
    </row>
    <row r="18" ht="96" customHeight="1">
      <c r="A18" s="17" t="inlineStr">
        <is>
          <t>S010</t>
        </is>
      </c>
      <c r="B18" s="18" t="n"/>
      <c r="C18" s="18" t="n"/>
      <c r="D18" s="18" t="n"/>
      <c r="E18" s="18" t="n"/>
      <c r="F18" s="19" t="n"/>
      <c r="G18" s="19" t="n"/>
      <c r="H18" s="20" t="n"/>
      <c r="I18" s="18" t="n"/>
      <c r="J18" s="16" t="n"/>
    </row>
    <row r="19" ht="96" customHeight="1">
      <c r="A19" s="12" t="inlineStr">
        <is>
          <t>S011</t>
        </is>
      </c>
      <c r="B19" s="13" t="n"/>
      <c r="C19" s="13" t="n"/>
      <c r="D19" s="13" t="n"/>
      <c r="E19" s="13" t="n"/>
      <c r="F19" s="14" t="n"/>
      <c r="G19" s="14" t="n"/>
      <c r="H19" s="15" t="n"/>
      <c r="I19" s="13" t="n"/>
      <c r="J19" s="16" t="n"/>
    </row>
    <row r="20" ht="96" customHeight="1">
      <c r="A20" s="17" t="inlineStr">
        <is>
          <t>S012</t>
        </is>
      </c>
      <c r="B20" s="18" t="n"/>
      <c r="C20" s="18" t="n"/>
      <c r="D20" s="18" t="n"/>
      <c r="E20" s="18" t="n"/>
      <c r="F20" s="19" t="n"/>
      <c r="G20" s="19" t="n"/>
      <c r="H20" s="20" t="n"/>
      <c r="I20" s="18" t="n"/>
      <c r="J20" s="16" t="n"/>
    </row>
    <row r="21" ht="96" customHeight="1">
      <c r="A21" s="12" t="inlineStr">
        <is>
          <t>S013</t>
        </is>
      </c>
      <c r="B21" s="13" t="n"/>
      <c r="C21" s="13" t="n"/>
      <c r="D21" s="13" t="n"/>
      <c r="E21" s="13" t="n"/>
      <c r="F21" s="14" t="n"/>
      <c r="G21" s="14" t="n"/>
      <c r="H21" s="15" t="n"/>
      <c r="I21" s="13" t="n"/>
      <c r="J21" s="16" t="n"/>
    </row>
    <row r="22" ht="96" customHeight="1">
      <c r="A22" s="17" t="inlineStr">
        <is>
          <t>S014</t>
        </is>
      </c>
      <c r="B22" s="18" t="n"/>
      <c r="C22" s="18" t="n"/>
      <c r="D22" s="18" t="n"/>
      <c r="E22" s="18" t="n"/>
      <c r="F22" s="19" t="n"/>
      <c r="G22" s="19" t="n"/>
      <c r="H22" s="20" t="n"/>
      <c r="I22" s="18" t="n"/>
      <c r="J22" s="16" t="n"/>
    </row>
    <row r="23" ht="96" customHeight="1">
      <c r="A23" s="12" t="inlineStr">
        <is>
          <t>S015</t>
        </is>
      </c>
      <c r="B23" s="13" t="n"/>
      <c r="C23" s="13" t="n"/>
      <c r="D23" s="13" t="n"/>
      <c r="E23" s="13" t="n"/>
      <c r="F23" s="14" t="n"/>
      <c r="G23" s="14" t="n"/>
      <c r="H23" s="15" t="n"/>
      <c r="I23" s="13" t="n"/>
      <c r="J23" s="16" t="n"/>
    </row>
    <row r="24" ht="96" customHeight="1">
      <c r="A24" s="17" t="inlineStr">
        <is>
          <t>S016</t>
        </is>
      </c>
      <c r="B24" s="18" t="n"/>
      <c r="C24" s="18" t="n"/>
      <c r="D24" s="18" t="n"/>
      <c r="E24" s="18" t="n"/>
      <c r="F24" s="19" t="n"/>
      <c r="G24" s="19" t="n"/>
      <c r="H24" s="20" t="n"/>
      <c r="I24" s="18" t="n"/>
      <c r="J24" s="16" t="n"/>
    </row>
    <row r="25" ht="96" customHeight="1">
      <c r="A25" s="12" t="inlineStr">
        <is>
          <t>S017</t>
        </is>
      </c>
      <c r="B25" s="13" t="n"/>
      <c r="C25" s="13" t="n"/>
      <c r="D25" s="13" t="n"/>
      <c r="E25" s="13" t="n"/>
      <c r="F25" s="14" t="n"/>
      <c r="G25" s="14" t="n"/>
      <c r="H25" s="15" t="n"/>
      <c r="I25" s="13" t="n"/>
      <c r="J25" s="16" t="n"/>
    </row>
    <row r="26" ht="96" customHeight="1">
      <c r="A26" s="17" t="inlineStr">
        <is>
          <t>S018</t>
        </is>
      </c>
      <c r="B26" s="18" t="n"/>
      <c r="C26" s="18" t="n"/>
      <c r="D26" s="18" t="n"/>
      <c r="E26" s="18" t="n"/>
      <c r="F26" s="19" t="n"/>
      <c r="G26" s="19" t="n"/>
      <c r="H26" s="20" t="n"/>
      <c r="I26" s="18" t="n"/>
      <c r="J26" s="16" t="n"/>
    </row>
    <row r="27" ht="96" customHeight="1">
      <c r="A27" s="12" t="inlineStr">
        <is>
          <t>S019</t>
        </is>
      </c>
      <c r="B27" s="13" t="n"/>
      <c r="C27" s="13" t="n"/>
      <c r="D27" s="13" t="n"/>
      <c r="E27" s="13" t="n"/>
      <c r="F27" s="14" t="n"/>
      <c r="G27" s="14" t="n"/>
      <c r="H27" s="15" t="n"/>
      <c r="I27" s="13" t="n"/>
      <c r="J27" s="16" t="n"/>
    </row>
    <row r="28" ht="96" customHeight="1">
      <c r="A28" s="17" t="inlineStr">
        <is>
          <t>S020</t>
        </is>
      </c>
      <c r="B28" s="18" t="n"/>
      <c r="C28" s="18" t="n"/>
      <c r="D28" s="18" t="n"/>
      <c r="E28" s="18" t="n"/>
      <c r="F28" s="19" t="n"/>
      <c r="G28" s="19" t="n"/>
      <c r="H28" s="20" t="n"/>
      <c r="I28" s="18" t="n"/>
      <c r="J28" s="16" t="n"/>
    </row>
    <row r="29" ht="96" customHeight="1">
      <c r="A29" s="12" t="inlineStr">
        <is>
          <t>S021</t>
        </is>
      </c>
      <c r="B29" s="13" t="n"/>
      <c r="C29" s="13" t="n"/>
      <c r="D29" s="13" t="n"/>
      <c r="E29" s="13" t="n"/>
      <c r="F29" s="14" t="n"/>
      <c r="G29" s="14" t="n"/>
      <c r="H29" s="15" t="n"/>
      <c r="I29" s="13" t="n"/>
      <c r="J29" s="16" t="n"/>
    </row>
    <row r="30" ht="96" customHeight="1">
      <c r="A30" s="17" t="inlineStr">
        <is>
          <t>S022</t>
        </is>
      </c>
      <c r="B30" s="18" t="n"/>
      <c r="C30" s="18" t="n"/>
      <c r="D30" s="18" t="n"/>
      <c r="E30" s="18" t="n"/>
      <c r="F30" s="19" t="n"/>
      <c r="G30" s="19" t="n"/>
      <c r="H30" s="20" t="n"/>
      <c r="I30" s="18" t="n"/>
      <c r="J30" s="16" t="n"/>
    </row>
    <row r="31" ht="96" customHeight="1">
      <c r="A31" s="12" t="inlineStr">
        <is>
          <t>S023</t>
        </is>
      </c>
      <c r="B31" s="13" t="n"/>
      <c r="C31" s="13" t="n"/>
      <c r="D31" s="13" t="n"/>
      <c r="E31" s="13" t="n"/>
      <c r="F31" s="14" t="n"/>
      <c r="G31" s="14" t="n"/>
      <c r="H31" s="15" t="n"/>
      <c r="I31" s="13" t="n"/>
      <c r="J31" s="16" t="n"/>
    </row>
    <row r="32" ht="96" customHeight="1">
      <c r="A32" s="17" t="inlineStr">
        <is>
          <t>S024</t>
        </is>
      </c>
      <c r="B32" s="18" t="n"/>
      <c r="C32" s="18" t="n"/>
      <c r="D32" s="18" t="n"/>
      <c r="E32" s="18" t="n"/>
      <c r="F32" s="19" t="n"/>
      <c r="G32" s="19" t="n"/>
      <c r="H32" s="20" t="n"/>
      <c r="I32" s="18" t="n"/>
      <c r="J32" s="16" t="n"/>
    </row>
    <row r="33" ht="96" customHeight="1">
      <c r="A33" s="12" t="inlineStr">
        <is>
          <t>S025</t>
        </is>
      </c>
      <c r="B33" s="13" t="n"/>
      <c r="C33" s="13" t="n"/>
      <c r="D33" s="13" t="n"/>
      <c r="E33" s="13" t="n"/>
      <c r="F33" s="14" t="n"/>
      <c r="G33" s="14" t="n"/>
      <c r="H33" s="15" t="n"/>
      <c r="I33" s="13" t="n"/>
      <c r="J33" s="16" t="n"/>
    </row>
    <row r="34" ht="96" customHeight="1">
      <c r="A34" s="17" t="inlineStr">
        <is>
          <t>S026</t>
        </is>
      </c>
      <c r="B34" s="18" t="n"/>
      <c r="C34" s="18" t="n"/>
      <c r="D34" s="18" t="n"/>
      <c r="E34" s="18" t="n"/>
      <c r="F34" s="19" t="n"/>
      <c r="G34" s="19" t="n"/>
      <c r="H34" s="20" t="n"/>
      <c r="I34" s="18" t="n"/>
      <c r="J34" s="16" t="n"/>
    </row>
    <row r="35" ht="96" customHeight="1">
      <c r="A35" s="12" t="inlineStr">
        <is>
          <t>S027</t>
        </is>
      </c>
      <c r="B35" s="13" t="n"/>
      <c r="C35" s="13" t="n"/>
      <c r="D35" s="13" t="n"/>
      <c r="E35" s="13" t="n"/>
      <c r="F35" s="14" t="n"/>
      <c r="G35" s="14" t="n"/>
      <c r="H35" s="15" t="n"/>
      <c r="I35" s="13" t="n"/>
      <c r="J35" s="16" t="n"/>
    </row>
    <row r="36" ht="96" customHeight="1">
      <c r="A36" s="17" t="inlineStr">
        <is>
          <t>S028</t>
        </is>
      </c>
      <c r="B36" s="18" t="n"/>
      <c r="C36" s="18" t="n"/>
      <c r="D36" s="18" t="n"/>
      <c r="E36" s="18" t="n"/>
      <c r="F36" s="19" t="n"/>
      <c r="G36" s="19" t="n"/>
      <c r="H36" s="20" t="n"/>
      <c r="I36" s="18" t="n"/>
      <c r="J36" s="16" t="n"/>
    </row>
    <row r="37" ht="96" customHeight="1">
      <c r="A37" s="12" t="inlineStr">
        <is>
          <t>S029</t>
        </is>
      </c>
      <c r="B37" s="13" t="n"/>
      <c r="C37" s="13" t="n"/>
      <c r="D37" s="13" t="n"/>
      <c r="E37" s="13" t="n"/>
      <c r="F37" s="14" t="n"/>
      <c r="G37" s="14" t="n"/>
      <c r="H37" s="15" t="n"/>
      <c r="I37" s="13" t="n"/>
      <c r="J37" s="16" t="n"/>
    </row>
    <row r="38" ht="96" customHeight="1">
      <c r="A38" s="17" t="inlineStr">
        <is>
          <t>S030</t>
        </is>
      </c>
      <c r="B38" s="18" t="n"/>
      <c r="C38" s="18" t="n"/>
      <c r="D38" s="18" t="n"/>
      <c r="E38" s="18" t="n"/>
      <c r="F38" s="19" t="n"/>
      <c r="G38" s="19" t="n"/>
      <c r="H38" s="20" t="n"/>
      <c r="I38" s="18" t="n"/>
      <c r="J38" s="16" t="n"/>
    </row>
    <row r="40" ht="35" customHeight="1">
      <c r="A40" s="10" t="inlineStr">
        <is>
          <t>Meer dan 30 registraties? Voeg rijen toe vóór de laatste registratie en kopieer de opmaak. Controleer of de formules op ‘Overzicht’ de extra rijen meenemen. Gebruik unieke nummers.</t>
        </is>
      </c>
    </row>
  </sheetData>
  <mergeCells count="3">
    <mergeCell ref="A6:J6"/>
    <mergeCell ref="A5:J5"/>
    <mergeCell ref="A40:J40"/>
  </mergeCells>
  <conditionalFormatting sqref="H9:H38">
    <cfRule type="expression" priority="1" dxfId="0">
      <formula>AND(ISNUMBER(G9),H9="")</formula>
    </cfRule>
  </conditionalFormatting>
  <dataValidations count="4">
    <dataValidation sqref="D9:D38" showDropDown="0" showInputMessage="0" showErrorMessage="1" allowBlank="0" errorTitle="Kies een materiaal" error="Gebruik een keuze uit de lijst." type="list" errorStyle="stop">
      <formula1>"Goud,Zilver,Platina,Gemengd,Overig,Onbekend"</formula1>
    </dataValidation>
    <dataValidation sqref="B9:B38" showDropDown="0" showInputMessage="0" showErrorMessage="0" allowBlank="0" type="list">
      <formula1>"Ring,Ketting,Armband,Oorbellen,Hanger,Broche,Horloge,Overig"</formula1>
    </dataValidation>
    <dataValidation sqref="F9:F38" showDropDown="0" showInputMessage="0" showErrorMessage="1" allowBlank="1" errorTitle="Bedrag invullen" error="Vul een bedrag groter dan nul in, of laat leeg als onbekend." type="decimal" errorStyle="stop" operator="greaterThan">
      <formula1>0</formula1>
    </dataValidation>
    <dataValidation sqref="G9:G38" showDropDown="0" showInputMessage="0" showErrorMessage="1" allowBlank="1" errorTitle="Bedrag invullen" error="Vul een bedrag groter dan nul in, of laat leeg als onbekend." type="decimal" errorStyle="stop" operator="greaterThan">
      <formula1>0</formula1>
    </dataValidation>
  </dataValidations>
  <pageMargins left="0.25" right="0.25" top="0.35" bottom="0.35" header="0.5" footer="0.5"/>
  <pageSetup orientation="landscape" paperSize="9" fitToHeight="0" fitToWidth="1"/>
  <headerFooter>
    <oddHeader/>
    <oddFooter>&amp;C&amp;9 DBA Advies | Veenendaal&amp;R&amp;9 Pagina &amp;P van &amp;N</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tabColor rgb="0000765F"/>
    <outlinePr summaryBelow="1" summaryRight="0"/>
    <pageSetUpPr fitToPage="1"/>
  </sheetPr>
  <dimension ref="A1:F31"/>
  <sheetViews>
    <sheetView showGridLines="0" zoomScale="9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ht="22" customHeight="1"/>
    <row r="2" ht="22" customHeight="1"/>
    <row r="3" ht="22" customHeight="1"/>
    <row r="4" ht="22" customHeight="1"/>
    <row r="5" ht="38" customHeight="1">
      <c r="A5" s="1" t="inlineStr">
        <is>
          <t>Overzicht van uw sieraden</t>
        </is>
      </c>
    </row>
    <row r="6" ht="29" customHeight="1">
      <c r="A6" s="2" t="inlineStr">
        <is>
          <t>Automatisch berekend uit ‘Mijn sieraden’. Alleen rijen met een omschrijving tellen mee.</t>
        </is>
      </c>
    </row>
    <row r="7" ht="4" customHeight="1">
      <c r="A7" s="3" t="n"/>
      <c r="B7" s="3" t="n"/>
      <c r="C7" s="3" t="n"/>
      <c r="D7" s="3" t="n"/>
      <c r="E7" s="3" t="n"/>
      <c r="F7" s="3" t="n"/>
    </row>
    <row r="8"/>
    <row r="9" ht="30" customHeight="1">
      <c r="A9" s="5" t="inlineStr">
        <is>
          <t>Aantal geregistreerde sieraden</t>
        </is>
      </c>
      <c r="B9" s="6" t="n"/>
      <c r="C9" s="6" t="n"/>
      <c r="D9" s="6" t="n"/>
      <c r="E9" s="21">
        <f>COUNTIF('Mijn sieraden'!$C$9:$C$38,"?*")</f>
        <v/>
      </c>
    </row>
    <row r="10" ht="30" customHeight="1">
      <c r="A10" s="8" t="inlineStr">
        <is>
          <t>Zonder taxatiewaarde</t>
        </is>
      </c>
      <c r="E10" s="21">
        <f>COUNTIF('Mijn sieraden'!$C$9:$C$38,"?*")-COUNTIFS('Mijn sieraden'!$C$9:$C$38,"?*",'Mijn sieraden'!$G$9:$G$38,"&gt;0")</f>
        <v/>
      </c>
    </row>
    <row r="11" ht="30" customHeight="1">
      <c r="A11" s="22" t="inlineStr">
        <is>
          <t>Taxatiewaarde ingevuld, datum ontbreekt</t>
        </is>
      </c>
      <c r="E11" s="21">
        <f>COUNTIFS('Mijn sieraden'!$C$9:$C$38,"?*",'Mijn sieraden'!$G$9:$G$38,"&gt;0",'Mijn sieraden'!$H$9:$H$38,"")</f>
        <v/>
      </c>
    </row>
    <row r="12"/>
    <row r="13" ht="34" customHeight="1">
      <c r="A13" s="5" t="inlineStr">
        <is>
          <t>Totaal geregistreerde aankoopbedragen</t>
        </is>
      </c>
      <c r="B13" s="6" t="n"/>
      <c r="C13" s="6" t="n"/>
      <c r="D13" s="6" t="n"/>
      <c r="E13" s="23">
        <f>IF(COUNTIFS('Mijn sieraden'!$C$9:$C$38,"?*",'Mijn sieraden'!$F$9:$F$38,"&gt;0")=0,"",SUMIF('Mijn sieraden'!$C$9:$C$38,"?*",'Mijn sieraden'!$F$9:$F$38))</f>
        <v/>
      </c>
    </row>
    <row r="14" ht="34" customHeight="1">
      <c r="A14" s="5" t="inlineStr">
        <is>
          <t>Totaal geregistreerde taxatiewaarden</t>
        </is>
      </c>
      <c r="B14" s="6" t="n"/>
      <c r="C14" s="6" t="n"/>
      <c r="D14" s="6" t="n"/>
      <c r="E14" s="23">
        <f>IF(COUNTIFS('Mijn sieraden'!$C$9:$C$38,"?*",'Mijn sieraden'!$G$9:$G$38,"&gt;0")=0,"",SUMIF('Mijn sieraden'!$C$9:$C$38,"?*",'Mijn sieraden'!$G$9:$G$38))</f>
        <v/>
      </c>
    </row>
    <row r="15"/>
    <row r="16" ht="32" customHeight="1">
      <c r="A16" s="24" t="inlineStr">
        <is>
          <t>Taxatiewaarden per materiaal</t>
        </is>
      </c>
    </row>
    <row r="17" ht="25" customHeight="1">
      <c r="A17" s="11" t="inlineStr">
        <is>
          <t>Materiaal</t>
        </is>
      </c>
      <c r="B17" s="25" t="n"/>
      <c r="C17" s="25" t="n"/>
      <c r="D17" s="11" t="inlineStr">
        <is>
          <t>Aantal</t>
        </is>
      </c>
      <c r="E17" s="11" t="inlineStr">
        <is>
          <t>Taxatiewaarden</t>
        </is>
      </c>
      <c r="F17" s="25" t="n"/>
    </row>
    <row r="18" ht="29" customHeight="1">
      <c r="A18" s="9" t="inlineStr">
        <is>
          <t>Goud</t>
        </is>
      </c>
      <c r="B18" s="6" t="n"/>
      <c r="C18" s="6" t="n"/>
      <c r="D18" s="21">
        <f>COUNTIFS('Mijn sieraden'!$C$9:$C$38,"?*",'Mijn sieraden'!$D$9:$D$38,A18)</f>
        <v/>
      </c>
      <c r="E18" s="23">
        <f>IF(COUNTIFS('Mijn sieraden'!$C$9:$C$38,"?*",'Mijn sieraden'!$D$9:$D$38,A18,'Mijn sieraden'!$G$9:$G$38,"&gt;0")=0,"",SUMIFS('Mijn sieraden'!$G$9:$G$38,'Mijn sieraden'!$C$9:$C$38,"?*",'Mijn sieraden'!$D$9:$D$38,A18))</f>
        <v/>
      </c>
    </row>
    <row r="19" ht="29" customHeight="1">
      <c r="A19" s="26" t="inlineStr">
        <is>
          <t>Zilver</t>
        </is>
      </c>
      <c r="B19" s="27" t="n"/>
      <c r="C19" s="27" t="n"/>
      <c r="D19" s="21">
        <f>COUNTIFS('Mijn sieraden'!$C$9:$C$38,"?*",'Mijn sieraden'!$D$9:$D$38,A19)</f>
        <v/>
      </c>
      <c r="E19" s="23">
        <f>IF(COUNTIFS('Mijn sieraden'!$C$9:$C$38,"?*",'Mijn sieraden'!$D$9:$D$38,A19,'Mijn sieraden'!$G$9:$G$38,"&gt;0")=0,"",SUMIFS('Mijn sieraden'!$G$9:$G$38,'Mijn sieraden'!$C$9:$C$38,"?*",'Mijn sieraden'!$D$9:$D$38,A19))</f>
        <v/>
      </c>
    </row>
    <row r="20" ht="29" customHeight="1">
      <c r="A20" s="9" t="inlineStr">
        <is>
          <t>Platina</t>
        </is>
      </c>
      <c r="B20" s="6" t="n"/>
      <c r="C20" s="6" t="n"/>
      <c r="D20" s="21">
        <f>COUNTIFS('Mijn sieraden'!$C$9:$C$38,"?*",'Mijn sieraden'!$D$9:$D$38,A20)</f>
        <v/>
      </c>
      <c r="E20" s="23">
        <f>IF(COUNTIFS('Mijn sieraden'!$C$9:$C$38,"?*",'Mijn sieraden'!$D$9:$D$38,A20,'Mijn sieraden'!$G$9:$G$38,"&gt;0")=0,"",SUMIFS('Mijn sieraden'!$G$9:$G$38,'Mijn sieraden'!$C$9:$C$38,"?*",'Mijn sieraden'!$D$9:$D$38,A20))</f>
        <v/>
      </c>
    </row>
    <row r="21" ht="29" customHeight="1">
      <c r="A21" s="26" t="inlineStr">
        <is>
          <t>Gemengd</t>
        </is>
      </c>
      <c r="B21" s="27" t="n"/>
      <c r="C21" s="27" t="n"/>
      <c r="D21" s="21">
        <f>COUNTIFS('Mijn sieraden'!$C$9:$C$38,"?*",'Mijn sieraden'!$D$9:$D$38,A21)</f>
        <v/>
      </c>
      <c r="E21" s="23">
        <f>IF(COUNTIFS('Mijn sieraden'!$C$9:$C$38,"?*",'Mijn sieraden'!$D$9:$D$38,A21,'Mijn sieraden'!$G$9:$G$38,"&gt;0")=0,"",SUMIFS('Mijn sieraden'!$G$9:$G$38,'Mijn sieraden'!$C$9:$C$38,"?*",'Mijn sieraden'!$D$9:$D$38,A21))</f>
        <v/>
      </c>
    </row>
    <row r="22" ht="29" customHeight="1">
      <c r="A22" s="9" t="inlineStr">
        <is>
          <t>Overig</t>
        </is>
      </c>
      <c r="B22" s="6" t="n"/>
      <c r="C22" s="6" t="n"/>
      <c r="D22" s="21">
        <f>COUNTIFS('Mijn sieraden'!$C$9:$C$38,"?*",'Mijn sieraden'!$D$9:$D$38,A22)</f>
        <v/>
      </c>
      <c r="E22" s="23">
        <f>IF(COUNTIFS('Mijn sieraden'!$C$9:$C$38,"?*",'Mijn sieraden'!$D$9:$D$38,A22,'Mijn sieraden'!$G$9:$G$38,"&gt;0")=0,"",SUMIFS('Mijn sieraden'!$G$9:$G$38,'Mijn sieraden'!$C$9:$C$38,"?*",'Mijn sieraden'!$D$9:$D$38,A22))</f>
        <v/>
      </c>
    </row>
    <row r="23" ht="29" customHeight="1">
      <c r="A23" s="26" t="inlineStr">
        <is>
          <t>Onbekend / niet ingevuld</t>
        </is>
      </c>
      <c r="B23" s="27" t="n"/>
      <c r="C23" s="27" t="n"/>
      <c r="D23" s="21">
        <f>COUNTIFS('Mijn sieraden'!$C$9:$C$38,"?*",'Mijn sieraden'!$D$9:$D$38,"Onbekend")+COUNTIFS('Mijn sieraden'!$C$9:$C$38,"?*",'Mijn sieraden'!$D$9:$D$38,"")</f>
        <v/>
      </c>
      <c r="E23" s="23">
        <f>IF(COUNTIFS('Mijn sieraden'!$C$9:$C$38,"?*",'Mijn sieraden'!$D$9:$D$38,"Onbekend",'Mijn sieraden'!$G$9:$G$38,"&gt;0")+COUNTIFS('Mijn sieraden'!$C$9:$C$38,"?*",'Mijn sieraden'!$D$9:$D$38,"",'Mijn sieraden'!$G$9:$G$38,"&gt;0")=0,"",SUMIFS('Mijn sieraden'!$G$9:$G$38,'Mijn sieraden'!$C$9:$C$38,"?*",'Mijn sieraden'!$D$9:$D$38,"Onbekend")+SUMIFS('Mijn sieraden'!$G$9:$G$38,'Mijn sieraden'!$C$9:$C$38,"?*",'Mijn sieraden'!$D$9:$D$38,""))</f>
        <v/>
      </c>
    </row>
    <row r="25" ht="28" customHeight="1">
      <c r="A25" s="8" t="inlineStr">
        <is>
          <t>Wat betekenen deze totalen?</t>
        </is>
      </c>
    </row>
    <row r="26" ht="62" customHeight="1">
      <c r="A26" s="7" t="inlineStr">
        <is>
          <t>Aankoopbedragen en taxatiewaarden zijn afzonderlijke totalen. Tel ze niet bij elkaar op. De taxatiewaarden kunnen verschillende peildata hebben. Een leeg bedrag betekent onbekend, niet € 0. Het overzicht kan onvolledig zijn.</t>
        </is>
      </c>
    </row>
    <row r="28" ht="55" customHeight="1">
      <c r="A28" s="9" t="inlineStr">
        <is>
          <t>Een totaal bepaalt niet uw verzekerde dekking. Uw polis en de eisen van uw verzekeraar blijven leidend. Laat DBA zo nodig beoordelen welke taxatie of dekkingsaanpassing passend is.</t>
        </is>
      </c>
      <c r="B28" s="6" t="n"/>
      <c r="C28" s="6" t="n"/>
      <c r="D28" s="6" t="n"/>
      <c r="E28" s="6" t="n"/>
      <c r="F28" s="6" t="n"/>
    </row>
    <row r="30" ht="38" customHeight="1">
      <c r="A30" s="8" t="inlineStr">
        <is>
          <t>DBA Advies
Veenendaal</t>
        </is>
      </c>
    </row>
    <row r="31" ht="25" customHeight="1">
      <c r="A31" s="7" t="inlineStr">
        <is>
          <t>0318 – 76 80 13 | veenendaal@dba-advies.nl</t>
        </is>
      </c>
    </row>
  </sheetData>
  <sheetProtection selectLockedCells="0" selectUnlockedCells="0" sheet="1" objects="0" insertRows="1" insertHyperlinks="1" autoFilter="1" scenarios="0" formatColumns="1" deleteColumns="1" insertColumns="1" pivotTables="1" deleteRows="1" formatCells="1" formatRows="1" sort="1"/>
  <mergeCells count="33">
    <mergeCell ref="A16:F16"/>
    <mergeCell ref="A18:C18"/>
    <mergeCell ref="E23:F23"/>
    <mergeCell ref="E14:F14"/>
    <mergeCell ref="A21:C21"/>
    <mergeCell ref="A26:F26"/>
    <mergeCell ref="E17:F17"/>
    <mergeCell ref="A10:D10"/>
    <mergeCell ref="A13:D13"/>
    <mergeCell ref="A9:D9"/>
    <mergeCell ref="E20:F20"/>
    <mergeCell ref="E10:F10"/>
    <mergeCell ref="A23:C23"/>
    <mergeCell ref="A5:F5"/>
    <mergeCell ref="E19:F19"/>
    <mergeCell ref="A22:C22"/>
    <mergeCell ref="A17:C17"/>
    <mergeCell ref="E13:F13"/>
    <mergeCell ref="A25:F25"/>
    <mergeCell ref="A11:D11"/>
    <mergeCell ref="E9:F9"/>
    <mergeCell ref="A20:C20"/>
    <mergeCell ref="A19:C19"/>
    <mergeCell ref="A28:F28"/>
    <mergeCell ref="E11:F11"/>
    <mergeCell ref="A31:F31"/>
    <mergeCell ref="A30:F30"/>
    <mergeCell ref="E21:F21"/>
    <mergeCell ref="D17"/>
    <mergeCell ref="A6:F6"/>
    <mergeCell ref="E22:F22"/>
    <mergeCell ref="E18:F18"/>
    <mergeCell ref="A14:D14"/>
  </mergeCells>
  <pageMargins left="0.25" right="0.25" top="0.35" bottom="0.35" header="0.5" footer="0.5"/>
  <pageSetup paperSize="9" fitToHeight="0" fitToWidth="1"/>
  <headerFooter>
    <oddHeader/>
    <oddFooter>&amp;C&amp;9 DBA Advies | Veenendaal&amp;R&amp;9 Pagina &amp;P van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DBA Advies Veenendaal</dc:creator>
  <dc:title xmlns:dc="http://purl.org/dc/elements/1.1/">DBA Advies Veenendaal — Sieradenlogboek</dc:title>
  <dcterms:created xmlns:dcterms="http://purl.org/dc/terms/" xmlns:xsi="http://www.w3.org/2001/XMLSchema-instance" xsi:type="dcterms:W3CDTF">2026-10-06T09:42:19Z</dcterms:created>
  <dcterms:modified xmlns:dcterms="http://purl.org/dc/terms/" xmlns:xsi="http://www.w3.org/2001/XMLSchema-instance" xsi:type="dcterms:W3CDTF">2026-10-06T09:42:19Z</dcterms:modified>
</cp:coreProperties>
</file>